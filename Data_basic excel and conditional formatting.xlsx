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abir-sales-analysis\"/>
    </mc:Choice>
  </mc:AlternateContent>
  <xr:revisionPtr revIDLastSave="0" documentId="8_{724688D1-47BB-4EA4-992D-FD256F0999DE}" xr6:coauthVersionLast="47" xr6:coauthVersionMax="47" xr10:uidLastSave="{00000000-0000-0000-0000-000000000000}"/>
  <bookViews>
    <workbookView xWindow="-110" yWindow="-110" windowWidth="19420" windowHeight="10300" xr2:uid="{EA029572-C147-4152-87A6-0087C02F8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N16" i="1"/>
  <c r="O17" i="1"/>
  <c r="P5" i="1"/>
  <c r="I16" i="1"/>
  <c r="J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J21" i="1"/>
  <c r="I21" i="1"/>
  <c r="P6" i="1"/>
  <c r="P7" i="1"/>
  <c r="P8" i="1"/>
  <c r="O18" i="1"/>
  <c r="O19" i="1"/>
  <c r="O20" i="1"/>
  <c r="O16" i="1"/>
  <c r="N17" i="1"/>
  <c r="N18" i="1"/>
  <c r="N19" i="1"/>
  <c r="N20" i="1"/>
  <c r="J20" i="1"/>
  <c r="I20" i="1"/>
  <c r="J19" i="1"/>
  <c r="I19" i="1"/>
  <c r="I18" i="1"/>
  <c r="I17" i="1"/>
  <c r="J18" i="1"/>
  <c r="J17" i="1"/>
  <c r="M28" i="1" l="1"/>
  <c r="M26" i="1"/>
  <c r="T21" i="1"/>
  <c r="M27" i="1"/>
  <c r="J9" i="1"/>
  <c r="T20" i="1"/>
  <c r="S17" i="1"/>
  <c r="R19" i="1"/>
  <c r="K8" i="1"/>
  <c r="S19" i="1"/>
  <c r="S20" i="1"/>
  <c r="K9" i="1"/>
  <c r="I7" i="1"/>
  <c r="K5" i="1"/>
  <c r="I5" i="1"/>
  <c r="I6" i="1"/>
  <c r="J8" i="1"/>
  <c r="J5" i="1"/>
  <c r="R17" i="1"/>
  <c r="S21" i="1"/>
  <c r="R20" i="1"/>
  <c r="T18" i="1"/>
  <c r="I9" i="1"/>
  <c r="K7" i="1"/>
  <c r="J6" i="1"/>
  <c r="T17" i="1"/>
  <c r="R21" i="1"/>
  <c r="T19" i="1"/>
  <c r="S18" i="1"/>
  <c r="I8" i="1"/>
  <c r="K6" i="1"/>
  <c r="J7" i="1"/>
  <c r="R18" i="1"/>
  <c r="I26" i="1"/>
  <c r="I27" i="1"/>
  <c r="I28" i="1"/>
</calcChain>
</file>

<file path=xl/sharedStrings.xml><?xml version="1.0" encoding="utf-8"?>
<sst xmlns="http://schemas.openxmlformats.org/spreadsheetml/2006/main" count="77" uniqueCount="29">
  <si>
    <t>S/N</t>
  </si>
  <si>
    <t>Date</t>
  </si>
  <si>
    <t>Year</t>
  </si>
  <si>
    <t>Yearly Sales Report</t>
  </si>
  <si>
    <t>Sales Rep</t>
  </si>
  <si>
    <t>Quantity Sold</t>
  </si>
  <si>
    <t>Amount</t>
  </si>
  <si>
    <t>Ayo</t>
  </si>
  <si>
    <t>Tola</t>
  </si>
  <si>
    <t>Abdul</t>
  </si>
  <si>
    <t>Ada</t>
  </si>
  <si>
    <t>Ese</t>
  </si>
  <si>
    <t>Sum of Sales by Years</t>
  </si>
  <si>
    <t>Condition</t>
  </si>
  <si>
    <t>Quantity</t>
  </si>
  <si>
    <t>COUNTIF</t>
  </si>
  <si>
    <t>FUNCTIONS</t>
  </si>
  <si>
    <t>Quantity Sold by Years</t>
  </si>
  <si>
    <t>SUM</t>
  </si>
  <si>
    <t>SUMIF</t>
  </si>
  <si>
    <t>MINIMUM</t>
  </si>
  <si>
    <t>MAXIMUM</t>
  </si>
  <si>
    <t>AVERAGE</t>
  </si>
  <si>
    <t>COUNT</t>
  </si>
  <si>
    <t>COUNTA</t>
  </si>
  <si>
    <t>Values &gt; 15,000 → Green (High Value)</t>
  </si>
  <si>
    <t>Values &lt; 6,000 → Red (Low Value)</t>
  </si>
  <si>
    <t>Ave Quantity Sold</t>
  </si>
  <si>
    <t>Sum of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</si>
</sst>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</fills>
  <borders count="3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rgb="FF92D050"/>
      </bottom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3" fillId="3" borderId="1" xfId="0" applyFont="1" applyFill="1" applyBorder="1"/>
    <xf numFmtId="0" fontId="4" fillId="0" borderId="1" xfId="0" applyFont="1" applyBorder="1"/>
    <xf numFmtId="14" fontId="5" fillId="0" borderId="1" xfId="1" applyNumberFormat="1" applyFont="1" applyFill="1" applyBorder="1"/>
    <xf numFmtId="4" fontId="4" fillId="0" borderId="1" xfId="0" applyNumberFormat="1" applyFont="1" applyBorder="1"/>
    <xf numFmtId="0" fontId="4" fillId="0" borderId="0" xfId="0" applyFont="1"/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43" fontId="1" fillId="0" borderId="12" xfId="1" applyFont="1" applyFill="1" applyBorder="1" applyAlignment="1"/>
    <xf numFmtId="0" fontId="0" fillId="0" borderId="15" xfId="0" applyBorder="1"/>
    <xf numFmtId="0" fontId="0" fillId="0" borderId="16" xfId="0" applyBorder="1"/>
    <xf numFmtId="0" fontId="7" fillId="3" borderId="12" xfId="0" applyFont="1" applyFill="1" applyBorder="1"/>
    <xf numFmtId="0" fontId="7" fillId="3" borderId="1" xfId="0" applyFont="1" applyFill="1" applyBorder="1"/>
    <xf numFmtId="0" fontId="7" fillId="3" borderId="10" xfId="0" applyFont="1" applyFill="1" applyBorder="1"/>
    <xf numFmtId="0" fontId="0" fillId="0" borderId="12" xfId="0" applyBorder="1"/>
    <xf numFmtId="4" fontId="0" fillId="0" borderId="10" xfId="0" applyNumberFormat="1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1" fontId="4" fillId="0" borderId="21" xfId="0" applyNumberFormat="1" applyFont="1" applyBorder="1"/>
    <xf numFmtId="0" fontId="0" fillId="0" borderId="19" xfId="0" applyBorder="1"/>
    <xf numFmtId="0" fontId="4" fillId="0" borderId="22" xfId="0" applyFont="1" applyBorder="1"/>
    <xf numFmtId="1" fontId="4" fillId="0" borderId="20" xfId="0" applyNumberFormat="1" applyFont="1" applyBorder="1"/>
    <xf numFmtId="0" fontId="4" fillId="0" borderId="23" xfId="0" applyFont="1" applyBorder="1"/>
    <xf numFmtId="0" fontId="4" fillId="0" borderId="24" xfId="0" applyFont="1" applyFill="1" applyBorder="1"/>
    <xf numFmtId="0" fontId="4" fillId="0" borderId="20" xfId="0" applyFont="1" applyBorder="1"/>
    <xf numFmtId="0" fontId="4" fillId="0" borderId="19" xfId="0" applyFont="1" applyBorder="1"/>
    <xf numFmtId="1" fontId="4" fillId="0" borderId="22" xfId="0" applyNumberFormat="1" applyFont="1" applyBorder="1"/>
    <xf numFmtId="1" fontId="4" fillId="0" borderId="25" xfId="0" applyNumberFormat="1" applyFont="1" applyBorder="1"/>
    <xf numFmtId="0" fontId="8" fillId="3" borderId="19" xfId="0" applyFont="1" applyFill="1" applyBorder="1"/>
    <xf numFmtId="0" fontId="8" fillId="3" borderId="25" xfId="0" applyFont="1" applyFill="1" applyBorder="1"/>
    <xf numFmtId="0" fontId="4" fillId="0" borderId="26" xfId="0" applyFont="1" applyBorder="1"/>
    <xf numFmtId="1" fontId="4" fillId="0" borderId="19" xfId="0" applyNumberFormat="1" applyFont="1" applyBorder="1"/>
    <xf numFmtId="0" fontId="8" fillId="3" borderId="0" xfId="0" applyFont="1" applyFill="1"/>
    <xf numFmtId="0" fontId="8" fillId="3" borderId="0" xfId="0" applyNumberFormat="1" applyFont="1" applyFill="1" applyBorder="1" applyAlignment="1"/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 indent="1"/>
    </xf>
    <xf numFmtId="0" fontId="7" fillId="4" borderId="27" xfId="0" applyFont="1" applyFill="1" applyBorder="1" applyAlignment="1">
      <alignment horizontal="left" indent="1"/>
    </xf>
    <xf numFmtId="0" fontId="7" fillId="4" borderId="28" xfId="0" applyFont="1" applyFill="1" applyBorder="1" applyAlignment="1">
      <alignment horizontal="left" indent="1"/>
    </xf>
    <xf numFmtId="0" fontId="7" fillId="4" borderId="29" xfId="0" applyFont="1" applyFill="1" applyBorder="1" applyAlignment="1">
      <alignment horizontal="left" indent="1"/>
    </xf>
    <xf numFmtId="0" fontId="0" fillId="4" borderId="0" xfId="0" applyFill="1"/>
  </cellXfs>
  <cellStyles count="2">
    <cellStyle name="Comma" xfId="1" builtinId="3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>
        <left/>
        <right style="thin">
          <color theme="9" tint="0.39997558519241921"/>
        </right>
        <top/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>
        <left style="thin">
          <color theme="9" tint="0.3999755851924192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theme="9" tint="0.39997558519241921"/>
        </right>
        <top/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74568-3B5A-4478-8877-EDA9E5135BF9}" name="Table2" displayName="Table2" ref="H25:I28" totalsRowShown="0" headerRowDxfId="8" tableBorderDxfId="7">
  <autoFilter ref="H25:I28" xr:uid="{56374568-3B5A-4478-8877-EDA9E5135BF9}"/>
  <tableColumns count="2">
    <tableColumn id="1" xr3:uid="{70886D12-3C02-4694-BF3E-B06FE95D857A}" name="Year" dataDxfId="6"/>
    <tableColumn id="2" xr3:uid="{5EB2103B-8ECA-498A-8033-C97491CB20C9}" name="Sum of Quantity sold" dataDxfId="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B12141-6D19-4BAA-8C88-D7B27FF2C621}" name="Table3" displayName="Table3" ref="L25:M28" totalsRowShown="0" headerRowDxfId="4" tableBorderDxfId="3">
  <autoFilter ref="L25:M28" xr:uid="{26B12141-6D19-4BAA-8C88-D7B27FF2C621}"/>
  <tableColumns count="2">
    <tableColumn id="1" xr3:uid="{CF4B6690-6C14-4394-A538-01320E2DC456}" name="Year"/>
    <tableColumn id="2" xr3:uid="{E81E5911-3A24-4BA6-9952-B44DAF862447}" name="Ave Quantity Sold" dataDxfId="2">
      <calculatedColumnFormula>AVERAGEIF(C3:C26, L26, E3:E26)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1B46-494A-4CDA-8D32-A86776984F82}">
  <dimension ref="A1:T41"/>
  <sheetViews>
    <sheetView tabSelected="1" topLeftCell="L1" zoomScale="70" zoomScaleNormal="70" workbookViewId="0">
      <selection activeCell="P5" sqref="P5"/>
    </sheetView>
  </sheetViews>
  <sheetFormatPr defaultRowHeight="14.5" x14ac:dyDescent="0.35"/>
  <cols>
    <col min="1" max="1" width="3.08984375" customWidth="1"/>
    <col min="2" max="2" width="5.7265625" customWidth="1"/>
    <col min="3" max="3" width="9" bestFit="1" customWidth="1"/>
    <col min="4" max="4" width="6.1796875" customWidth="1"/>
    <col min="5" max="5" width="8.36328125" customWidth="1"/>
    <col min="6" max="6" width="5.6328125" customWidth="1"/>
    <col min="7" max="7" width="3.81640625" customWidth="1"/>
    <col min="8" max="8" width="6.90625" customWidth="1"/>
    <col min="9" max="9" width="22.453125" customWidth="1"/>
    <col min="10" max="10" width="24.7265625" bestFit="1" customWidth="1"/>
    <col min="11" max="11" width="25" bestFit="1" customWidth="1"/>
    <col min="12" max="12" width="4.26953125" customWidth="1"/>
    <col min="13" max="13" width="15.08984375" customWidth="1"/>
    <col min="14" max="14" width="15.453125" customWidth="1"/>
    <col min="15" max="15" width="15.54296875" customWidth="1"/>
    <col min="16" max="16" width="11.08984375" customWidth="1"/>
    <col min="17" max="17" width="4.90625" customWidth="1"/>
    <col min="18" max="18" width="23.08984375" customWidth="1"/>
    <col min="19" max="19" width="22.90625" customWidth="1"/>
  </cols>
  <sheetData>
    <row r="1" spans="1:20" ht="25" x14ac:dyDescent="0.5">
      <c r="A1" s="46" t="s">
        <v>3</v>
      </c>
      <c r="B1" s="46"/>
      <c r="C1" s="46"/>
      <c r="D1" s="46"/>
      <c r="E1" s="46"/>
      <c r="F1" s="46"/>
    </row>
    <row r="2" spans="1:20" ht="17.5" customHeight="1" thickBot="1" x14ac:dyDescent="0.4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6</v>
      </c>
    </row>
    <row r="3" spans="1:20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26"/>
      <c r="I3" s="47" t="s">
        <v>12</v>
      </c>
      <c r="J3" s="48"/>
      <c r="K3" s="49"/>
      <c r="N3" s="6"/>
      <c r="O3" s="7" t="s">
        <v>13</v>
      </c>
      <c r="P3" s="8" t="s">
        <v>14</v>
      </c>
    </row>
    <row r="4" spans="1:20" x14ac:dyDescent="0.35">
      <c r="A4" s="2">
        <v>2</v>
      </c>
      <c r="B4" s="3">
        <v>40235</v>
      </c>
      <c r="C4" s="3" t="str">
        <f t="shared" si="0"/>
        <v>2010</v>
      </c>
      <c r="D4" s="2" t="s">
        <v>8</v>
      </c>
      <c r="E4" s="2">
        <v>59</v>
      </c>
      <c r="F4" s="4">
        <v>12980</v>
      </c>
      <c r="G4" s="26"/>
      <c r="H4" s="9" t="s">
        <v>4</v>
      </c>
      <c r="I4" s="10">
        <v>2010</v>
      </c>
      <c r="J4" s="11">
        <v>2011</v>
      </c>
      <c r="K4" s="12">
        <v>2012</v>
      </c>
      <c r="N4" s="43" t="s">
        <v>15</v>
      </c>
      <c r="O4" s="13" t="s">
        <v>9</v>
      </c>
      <c r="P4" s="14">
        <f>COUNTIF($D$3:$D$26,O4)</f>
        <v>6</v>
      </c>
    </row>
    <row r="5" spans="1:20" x14ac:dyDescent="0.35">
      <c r="A5" s="2">
        <v>3</v>
      </c>
      <c r="B5" s="3">
        <v>40249</v>
      </c>
      <c r="C5" s="3" t="str">
        <f t="shared" si="0"/>
        <v>2010</v>
      </c>
      <c r="D5" s="2" t="s">
        <v>9</v>
      </c>
      <c r="E5" s="2">
        <v>56</v>
      </c>
      <c r="F5" s="4">
        <v>12320</v>
      </c>
      <c r="G5" s="26"/>
      <c r="H5" s="15" t="s">
        <v>9</v>
      </c>
      <c r="I5" s="16">
        <f>SUMIFS($F$3:$F$26, $D$3:$D$26, $H5, $C$3:$C$26, I$4)</f>
        <v>12320</v>
      </c>
      <c r="J5" s="16">
        <f t="shared" ref="J5:K5" si="1">SUMIFS($F$3:$F$26, $D$3:$D$26, $H5, $C$3:$C$26, J$4)</f>
        <v>23100</v>
      </c>
      <c r="K5" s="16">
        <f t="shared" si="1"/>
        <v>25520</v>
      </c>
      <c r="N5" s="44"/>
      <c r="O5" s="13" t="s">
        <v>7</v>
      </c>
      <c r="P5" s="14">
        <f>COUNTIF($D$3:$D$26,O5)</f>
        <v>3</v>
      </c>
    </row>
    <row r="6" spans="1:20" x14ac:dyDescent="0.35">
      <c r="A6" s="2">
        <v>4</v>
      </c>
      <c r="B6" s="3">
        <v>40249</v>
      </c>
      <c r="C6" s="3" t="str">
        <f t="shared" si="0"/>
        <v>2010</v>
      </c>
      <c r="D6" s="2" t="s">
        <v>10</v>
      </c>
      <c r="E6" s="2">
        <v>48</v>
      </c>
      <c r="F6" s="4">
        <v>10560</v>
      </c>
      <c r="G6" s="26"/>
      <c r="H6" s="15" t="s">
        <v>7</v>
      </c>
      <c r="I6" s="16">
        <f t="shared" ref="I6:K9" si="2">SUMIFS($F$3:$F$26, $D$3:$D$26, $H6, $C$3:$C$26, I$4)</f>
        <v>16720</v>
      </c>
      <c r="J6" s="16">
        <f>SUMIFS($F$3:$F$26, $D$3:$D$26, $H6, $C$3:$C$26, J$4)</f>
        <v>6160</v>
      </c>
      <c r="K6" s="16">
        <f t="shared" si="2"/>
        <v>7920</v>
      </c>
      <c r="N6" s="44"/>
      <c r="O6" s="13" t="s">
        <v>10</v>
      </c>
      <c r="P6" s="14">
        <f t="shared" ref="P6:P8" si="3">COUNTIF($D$3:$D$26,O6)</f>
        <v>5</v>
      </c>
    </row>
    <row r="7" spans="1:20" x14ac:dyDescent="0.35">
      <c r="A7" s="2">
        <v>5</v>
      </c>
      <c r="B7" s="3">
        <v>40418</v>
      </c>
      <c r="C7" s="3" t="str">
        <f t="shared" si="0"/>
        <v>2010</v>
      </c>
      <c r="D7" s="2" t="s">
        <v>8</v>
      </c>
      <c r="E7" s="2">
        <v>40</v>
      </c>
      <c r="F7" s="4">
        <v>8800</v>
      </c>
      <c r="G7" s="26"/>
      <c r="H7" s="15" t="s">
        <v>10</v>
      </c>
      <c r="I7" s="16">
        <f t="shared" si="2"/>
        <v>26840</v>
      </c>
      <c r="J7" s="16">
        <f>SUMIFS($F$3:$F$26, $D$3:$D$26, $H7, $C$3:$C$26, J$4)</f>
        <v>0</v>
      </c>
      <c r="K7" s="16">
        <f t="shared" si="2"/>
        <v>15840</v>
      </c>
      <c r="N7" s="44"/>
      <c r="O7" s="13" t="s">
        <v>11</v>
      </c>
      <c r="P7" s="14">
        <f t="shared" si="3"/>
        <v>3</v>
      </c>
    </row>
    <row r="8" spans="1:20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11</v>
      </c>
      <c r="E8" s="2">
        <v>90</v>
      </c>
      <c r="F8" s="4">
        <v>19800</v>
      </c>
      <c r="H8" s="15" t="s">
        <v>11</v>
      </c>
      <c r="I8" s="16">
        <f t="shared" si="2"/>
        <v>19800</v>
      </c>
      <c r="J8" s="16">
        <f t="shared" si="2"/>
        <v>20900</v>
      </c>
      <c r="K8" s="16">
        <f t="shared" si="2"/>
        <v>11440</v>
      </c>
      <c r="N8" s="45"/>
      <c r="O8" s="17" t="s">
        <v>8</v>
      </c>
      <c r="P8" s="14">
        <f t="shared" si="3"/>
        <v>7</v>
      </c>
    </row>
    <row r="9" spans="1:20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10</v>
      </c>
      <c r="E9" s="2">
        <v>24</v>
      </c>
      <c r="F9" s="4">
        <v>5280</v>
      </c>
      <c r="H9" s="18" t="s">
        <v>8</v>
      </c>
      <c r="I9" s="16">
        <f t="shared" si="2"/>
        <v>29040</v>
      </c>
      <c r="J9" s="16">
        <f t="shared" si="2"/>
        <v>33440</v>
      </c>
      <c r="K9" s="16">
        <f>SUMIFS($F$3:$F$26, $D$3:$D$26, $H9, $C$3:$C$26, K$4)</f>
        <v>20240</v>
      </c>
    </row>
    <row r="10" spans="1:20" x14ac:dyDescent="0.35">
      <c r="A10" s="2">
        <v>8</v>
      </c>
      <c r="B10" s="3">
        <v>40505</v>
      </c>
      <c r="C10" s="3" t="str">
        <f t="shared" si="0"/>
        <v>2010</v>
      </c>
      <c r="D10" s="2" t="s">
        <v>10</v>
      </c>
      <c r="E10" s="2">
        <v>50</v>
      </c>
      <c r="F10" s="4">
        <v>11000</v>
      </c>
      <c r="I10" s="16"/>
    </row>
    <row r="11" spans="1:20" x14ac:dyDescent="0.35">
      <c r="A11" s="2">
        <v>9</v>
      </c>
      <c r="B11" s="3">
        <v>40505</v>
      </c>
      <c r="C11" s="3" t="str">
        <f t="shared" si="0"/>
        <v>2010</v>
      </c>
      <c r="D11" s="2" t="s">
        <v>8</v>
      </c>
      <c r="E11" s="2">
        <v>33</v>
      </c>
      <c r="F11" s="4">
        <v>7260</v>
      </c>
    </row>
    <row r="12" spans="1:20" x14ac:dyDescent="0.35">
      <c r="A12" s="2">
        <v>10</v>
      </c>
      <c r="B12" s="3">
        <v>40611</v>
      </c>
      <c r="C12" s="3" t="str">
        <f t="shared" si="0"/>
        <v>2011</v>
      </c>
      <c r="D12" s="2" t="s">
        <v>11</v>
      </c>
      <c r="E12" s="2">
        <v>95</v>
      </c>
      <c r="F12" s="4">
        <v>20900</v>
      </c>
    </row>
    <row r="13" spans="1:20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9</v>
      </c>
      <c r="E13" s="2">
        <v>57</v>
      </c>
      <c r="F13" s="4">
        <v>12540</v>
      </c>
    </row>
    <row r="14" spans="1:20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9</v>
      </c>
      <c r="E14" s="2">
        <v>48</v>
      </c>
      <c r="F14" s="4">
        <v>10560</v>
      </c>
      <c r="H14" s="50" t="s">
        <v>16</v>
      </c>
      <c r="I14" s="51"/>
      <c r="J14" s="52"/>
    </row>
    <row r="15" spans="1:20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8</v>
      </c>
      <c r="E15" s="2">
        <v>88</v>
      </c>
      <c r="F15" s="4">
        <v>19360</v>
      </c>
      <c r="H15" s="19"/>
      <c r="I15" s="20" t="s">
        <v>14</v>
      </c>
      <c r="J15" s="21" t="s">
        <v>6</v>
      </c>
      <c r="L15" s="6"/>
      <c r="M15" s="7" t="s">
        <v>13</v>
      </c>
      <c r="N15" s="7" t="s">
        <v>14</v>
      </c>
      <c r="O15" s="8" t="s">
        <v>6</v>
      </c>
      <c r="Q15" s="54"/>
      <c r="R15" s="55" t="s">
        <v>17</v>
      </c>
      <c r="S15" s="56"/>
      <c r="T15" s="57"/>
    </row>
    <row r="16" spans="1:20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22" t="s">
        <v>18</v>
      </c>
      <c r="I16" s="13">
        <f>SUM(E3:E26)</f>
        <v>1224</v>
      </c>
      <c r="J16" s="23">
        <f>SUM(F3:F26)</f>
        <v>269280</v>
      </c>
      <c r="L16" s="43" t="s">
        <v>19</v>
      </c>
      <c r="M16" s="13" t="s">
        <v>9</v>
      </c>
      <c r="N16" s="13">
        <f>SUMIF($D$3:$D$26, M16, $E$3:$E$26)</f>
        <v>277</v>
      </c>
      <c r="O16" s="13">
        <f>SUMIF($D$3:$D$26, M16, $F$3:$F$26)</f>
        <v>60940</v>
      </c>
      <c r="Q16" s="9" t="s">
        <v>4</v>
      </c>
      <c r="R16" s="10">
        <v>2010</v>
      </c>
      <c r="S16" s="11">
        <v>2011</v>
      </c>
      <c r="T16" s="12">
        <v>2012</v>
      </c>
    </row>
    <row r="17" spans="1:20" x14ac:dyDescent="0.35">
      <c r="A17" s="2">
        <v>15</v>
      </c>
      <c r="B17" s="3">
        <v>40734</v>
      </c>
      <c r="C17" s="3" t="str">
        <f t="shared" si="0"/>
        <v>2011</v>
      </c>
      <c r="D17" s="2" t="s">
        <v>8</v>
      </c>
      <c r="E17" s="2">
        <v>64</v>
      </c>
      <c r="F17" s="4">
        <v>14080</v>
      </c>
      <c r="H17" s="22" t="s">
        <v>20</v>
      </c>
      <c r="I17" s="13">
        <f>MIN(E3:E26)</f>
        <v>24</v>
      </c>
      <c r="J17" s="23">
        <f>MIN(F3:F26)</f>
        <v>5280</v>
      </c>
      <c r="L17" s="44"/>
      <c r="M17" s="13" t="s">
        <v>7</v>
      </c>
      <c r="N17" s="13">
        <f>SUMIF($D$3:$D$26, M17, $E$3:$E$26)</f>
        <v>140</v>
      </c>
      <c r="O17" s="13">
        <f>SUMIF($D$3:$D$26, M17, $F$3:$F$26)</f>
        <v>30800</v>
      </c>
      <c r="Q17" s="15" t="s">
        <v>9</v>
      </c>
      <c r="R17">
        <f>SUMIFS($E$3:$E$26, $D$3:$D$26, $Q17,$C$3:$C$26,R$16)</f>
        <v>56</v>
      </c>
      <c r="S17">
        <f>SUMIFS($E$3:$E$26, $D$3:$D$26, $Q17,$C$3:$C$26,S$16)</f>
        <v>105</v>
      </c>
      <c r="T17">
        <f>SUMIFS($E$3:$E$26, $D$3:$D$26, $Q17,$C$3:$C$26,T$16)</f>
        <v>116</v>
      </c>
    </row>
    <row r="18" spans="1:20" x14ac:dyDescent="0.35">
      <c r="A18" s="2">
        <v>16</v>
      </c>
      <c r="B18" s="3">
        <v>40953</v>
      </c>
      <c r="C18" s="3" t="str">
        <f t="shared" si="0"/>
        <v>2012</v>
      </c>
      <c r="D18" s="2" t="s">
        <v>9</v>
      </c>
      <c r="E18" s="2">
        <v>51</v>
      </c>
      <c r="F18" s="4">
        <v>11220</v>
      </c>
      <c r="H18" s="22" t="s">
        <v>21</v>
      </c>
      <c r="I18" s="13">
        <f>MAX(E3:E26)</f>
        <v>95</v>
      </c>
      <c r="J18" s="23">
        <f>MAX(F3:F26)</f>
        <v>20900</v>
      </c>
      <c r="L18" s="44"/>
      <c r="M18" s="13" t="s">
        <v>10</v>
      </c>
      <c r="N18" s="13">
        <f t="shared" ref="N18:N20" si="4">SUMIF($D$3:$D$26, M18, $E$3:$E$26)</f>
        <v>194</v>
      </c>
      <c r="O18" s="13">
        <f t="shared" ref="O18:O20" si="5">SUMIF($D$3:$D$26, M18, $F$3:$F$26)</f>
        <v>42680</v>
      </c>
      <c r="Q18" s="15" t="s">
        <v>7</v>
      </c>
      <c r="R18">
        <f>SUMIFS($E$3:$E$26, $D$3:$D$26, $Q18,$C$3:$C$26,R$16)</f>
        <v>76</v>
      </c>
      <c r="S18">
        <f>SUMIFS($E$3:$E$26, $D$3:$D$26, $Q18,$C$3:$C$26,S$16)</f>
        <v>28</v>
      </c>
      <c r="T18">
        <f>SUMIFS($E$3:$E$26, $D$3:$D$26, $Q18,$C$3:$C$26,T$16)</f>
        <v>36</v>
      </c>
    </row>
    <row r="19" spans="1:20" x14ac:dyDescent="0.35">
      <c r="A19" s="2">
        <v>17</v>
      </c>
      <c r="B19" s="3">
        <v>40953</v>
      </c>
      <c r="C19" s="3" t="str">
        <f t="shared" si="0"/>
        <v>2012</v>
      </c>
      <c r="D19" s="2" t="s">
        <v>10</v>
      </c>
      <c r="E19" s="2">
        <v>25</v>
      </c>
      <c r="F19" s="4">
        <v>5500</v>
      </c>
      <c r="H19" s="22" t="s">
        <v>22</v>
      </c>
      <c r="I19" s="13">
        <f>AVERAGE(E3:E26)</f>
        <v>51</v>
      </c>
      <c r="J19" s="23">
        <f>AVERAGE(F3:F26)</f>
        <v>11220</v>
      </c>
      <c r="L19" s="44"/>
      <c r="M19" s="13" t="s">
        <v>11</v>
      </c>
      <c r="N19" s="13">
        <f t="shared" si="4"/>
        <v>237</v>
      </c>
      <c r="O19" s="13">
        <f t="shared" si="5"/>
        <v>52140</v>
      </c>
      <c r="Q19" s="15" t="s">
        <v>10</v>
      </c>
      <c r="R19">
        <f>SUMIFS($E$3:$E$26, $D$3:$D$26, $Q19,$C$3:$C$26,R$16)</f>
        <v>122</v>
      </c>
      <c r="S19">
        <f>SUMIFS($E$3:$E$26, $D$3:$D$26, $Q19,$C$3:$C$26,S$16)</f>
        <v>0</v>
      </c>
      <c r="T19">
        <f>SUMIFS($E$3:$E$26, $D$3:$D$26, $Q19,$C$3:$C$26,T$16)</f>
        <v>72</v>
      </c>
    </row>
    <row r="20" spans="1:20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8</v>
      </c>
      <c r="E20" s="2">
        <v>32</v>
      </c>
      <c r="F20" s="4">
        <v>7040</v>
      </c>
      <c r="H20" s="22" t="s">
        <v>23</v>
      </c>
      <c r="I20" s="13">
        <f>COUNT(E3:E26)</f>
        <v>24</v>
      </c>
      <c r="J20" s="14">
        <f>COUNTA(F3:F26)</f>
        <v>24</v>
      </c>
      <c r="L20" s="45"/>
      <c r="M20" s="17" t="s">
        <v>8</v>
      </c>
      <c r="N20" s="13">
        <f t="shared" si="4"/>
        <v>376</v>
      </c>
      <c r="O20" s="13">
        <f t="shared" si="5"/>
        <v>82720</v>
      </c>
      <c r="Q20" s="15" t="s">
        <v>11</v>
      </c>
      <c r="R20">
        <f>SUMIFS($E$3:$E$26, $D$3:$D$26, $Q20,$C$3:$C$26,R$16)</f>
        <v>90</v>
      </c>
      <c r="S20">
        <f>SUMIFS($E$3:$E$26, $D$3:$D$26, $Q20,$C$3:$C$26,S$16)</f>
        <v>95</v>
      </c>
      <c r="T20">
        <f>SUMIFS($E$3:$E$26, $D$3:$D$26, $Q20,$C$3:$C$26,T$16)</f>
        <v>52</v>
      </c>
    </row>
    <row r="21" spans="1:20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9</v>
      </c>
      <c r="E21" s="2">
        <v>24</v>
      </c>
      <c r="F21" s="4">
        <v>5280</v>
      </c>
      <c r="H21" s="24" t="s">
        <v>24</v>
      </c>
      <c r="I21" s="13">
        <f>COUNTA(E3:E26)</f>
        <v>24</v>
      </c>
      <c r="J21" s="25">
        <f>COUNTA(F3:F26)</f>
        <v>24</v>
      </c>
      <c r="Q21" s="18" t="s">
        <v>8</v>
      </c>
      <c r="R21">
        <f>SUMIFS($E$3:$E$26, $D$3:$D$26, $Q21,$C$3:$C$26,R$16)</f>
        <v>132</v>
      </c>
      <c r="S21">
        <f>SUMIFS($E$3:$E$26, $D$3:$D$26, $Q21,$C$3:$C$26,S$16)</f>
        <v>152</v>
      </c>
      <c r="T21">
        <f>SUMIFS($E$3:$E$26, $D$3:$D$26, $Q21,$C$3:$C$26,T$16)</f>
        <v>92</v>
      </c>
    </row>
    <row r="22" spans="1:20" x14ac:dyDescent="0.35">
      <c r="A22" s="2">
        <v>20</v>
      </c>
      <c r="B22" s="3">
        <v>41068</v>
      </c>
      <c r="C22" s="3" t="str">
        <f t="shared" si="0"/>
        <v>2012</v>
      </c>
      <c r="D22" s="2" t="s">
        <v>10</v>
      </c>
      <c r="E22" s="2">
        <v>47</v>
      </c>
      <c r="F22" s="4">
        <v>10340</v>
      </c>
    </row>
    <row r="23" spans="1:20" x14ac:dyDescent="0.35">
      <c r="A23" s="2">
        <v>21</v>
      </c>
      <c r="B23" s="3">
        <v>41068</v>
      </c>
      <c r="C23" s="3" t="str">
        <f t="shared" si="0"/>
        <v>2012</v>
      </c>
      <c r="D23" s="2" t="s">
        <v>9</v>
      </c>
      <c r="E23" s="2">
        <v>41</v>
      </c>
      <c r="F23" s="4">
        <v>9020</v>
      </c>
    </row>
    <row r="24" spans="1:20" x14ac:dyDescent="0.35">
      <c r="A24" s="2">
        <v>22</v>
      </c>
      <c r="B24" s="3">
        <v>41125</v>
      </c>
      <c r="C24" s="3" t="str">
        <f t="shared" si="0"/>
        <v>2012</v>
      </c>
      <c r="D24" s="2" t="s">
        <v>11</v>
      </c>
      <c r="E24" s="2">
        <v>52</v>
      </c>
      <c r="F24" s="4">
        <v>11440</v>
      </c>
    </row>
    <row r="25" spans="1:20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H25" s="37" t="s">
        <v>2</v>
      </c>
      <c r="I25" s="38" t="s">
        <v>28</v>
      </c>
      <c r="L25" s="41" t="s">
        <v>2</v>
      </c>
      <c r="M25" s="42" t="s">
        <v>27</v>
      </c>
    </row>
    <row r="26" spans="1:20" x14ac:dyDescent="0.35">
      <c r="A26" s="2">
        <v>24</v>
      </c>
      <c r="B26" s="3">
        <v>41183</v>
      </c>
      <c r="C26" s="3" t="str">
        <f t="shared" si="0"/>
        <v>2012</v>
      </c>
      <c r="D26" s="2" t="s">
        <v>8</v>
      </c>
      <c r="E26" s="2">
        <v>60</v>
      </c>
      <c r="F26" s="4">
        <v>13200</v>
      </c>
      <c r="H26" s="33">
        <v>2010</v>
      </c>
      <c r="I26" s="35">
        <f>SUMIF($C$3:C26, 2010, $E$3:$E$26)</f>
        <v>476</v>
      </c>
      <c r="L26" s="29">
        <v>2010</v>
      </c>
      <c r="M26" s="30">
        <f>AVERAGEIF(C3:C26, L26, E3:E26)</f>
        <v>52.888888888888886</v>
      </c>
    </row>
    <row r="27" spans="1:20" x14ac:dyDescent="0.35">
      <c r="E27" s="58" t="s">
        <v>25</v>
      </c>
      <c r="F27" s="58"/>
      <c r="G27" s="58"/>
      <c r="H27" s="34">
        <v>2011</v>
      </c>
      <c r="I27" s="36">
        <f>SUMIF(C4:C27, 2011, E4:E27)</f>
        <v>380</v>
      </c>
      <c r="L27">
        <v>2011</v>
      </c>
      <c r="M27" s="30">
        <f>AVERAGEIF(C4:C27, L27, E4:E27)</f>
        <v>63.333333333333336</v>
      </c>
    </row>
    <row r="28" spans="1:20" x14ac:dyDescent="0.35">
      <c r="E28" s="53" t="s">
        <v>26</v>
      </c>
      <c r="F28" s="53"/>
      <c r="H28" s="34">
        <v>2012</v>
      </c>
      <c r="I28" s="36">
        <f>SUMIF(C5:C28, 2012, E5:E28)</f>
        <v>368</v>
      </c>
      <c r="L28" s="39">
        <v>2012</v>
      </c>
      <c r="M28" s="40">
        <f>AVERAGEIF(C5:C28, L28, E5:E28)</f>
        <v>40.888888888888886</v>
      </c>
    </row>
    <row r="29" spans="1:20" x14ac:dyDescent="0.35">
      <c r="H29" s="32"/>
      <c r="I29" s="27"/>
    </row>
    <row r="37" spans="8:10" x14ac:dyDescent="0.35">
      <c r="J37" s="28"/>
    </row>
    <row r="38" spans="8:10" x14ac:dyDescent="0.35">
      <c r="J38" s="28"/>
    </row>
    <row r="39" spans="8:10" x14ac:dyDescent="0.35">
      <c r="J39" s="28"/>
    </row>
    <row r="40" spans="8:10" x14ac:dyDescent="0.35">
      <c r="J40" s="28"/>
    </row>
    <row r="41" spans="8:10" x14ac:dyDescent="0.35">
      <c r="H41" s="5"/>
      <c r="I41" s="31"/>
      <c r="J41" s="28"/>
    </row>
  </sheetData>
  <mergeCells count="6">
    <mergeCell ref="E27:G27"/>
    <mergeCell ref="L16:L20"/>
    <mergeCell ref="A1:F1"/>
    <mergeCell ref="I3:K3"/>
    <mergeCell ref="N4:N8"/>
    <mergeCell ref="H14:J14"/>
  </mergeCells>
  <conditionalFormatting sqref="F3:F26">
    <cfRule type="cellIs" dxfId="1" priority="1" operator="lessThan">
      <formula>6000</formula>
    </cfRule>
    <cfRule type="cellIs" dxfId="0" priority="2" operator="greaterThan">
      <formula>15000</formula>
    </cfRule>
  </conditionalFormatting>
  <conditionalFormatting sqref="O4:P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Adeniran Barakat Dasolami</dc:creator>
  <cp:lastModifiedBy>Adeniran Barakat Dasolami</cp:lastModifiedBy>
  <cp:lastPrinted>2026-05-02T22:37:05Z</cp:lastPrinted>
  <dcterms:created xsi:type="dcterms:W3CDTF">2026-04-30T11:16:10Z</dcterms:created>
  <dcterms:modified xsi:type="dcterms:W3CDTF">2026-05-03T00:02:05Z</dcterms:modified>
</cp:coreProperties>
</file>